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ACER\Documents\GitHub\taiwan-semiconductor-risk-thailand\"/>
    </mc:Choice>
  </mc:AlternateContent>
  <xr:revisionPtr revIDLastSave="0" documentId="13_ncr:1_{ECD6D05B-B1F3-400B-88D3-7A253DC32453}" xr6:coauthVersionLast="45" xr6:coauthVersionMax="45" xr10:uidLastSave="{00000000-0000-0000-0000-000000000000}"/>
  <bookViews>
    <workbookView xWindow="-120" yWindow="-120" windowWidth="29040" windowHeight="15720" activeTab="5" xr2:uid="{00000000-000D-0000-FFFF-FFFF00000000}"/>
  </bookViews>
  <sheets>
    <sheet name="Summary" sheetId="1" r:id="rId1"/>
    <sheet name="Scenario Definitions" sheetId="2" r:id="rId2"/>
    <sheet name="Impact Results" sheetId="3" r:id="rId3"/>
    <sheet name="Long Format" sheetId="4" r:id="rId4"/>
    <sheet name="Total Impact" sheetId="5" r:id="rId5"/>
    <sheet name="Sources" sheetId="6" r:id="rId6"/>
  </sheets>
  <calcPr calcId="0"/>
</workbook>
</file>

<file path=xl/sharedStrings.xml><?xml version="1.0" encoding="utf-8"?>
<sst xmlns="http://schemas.openxmlformats.org/spreadsheetml/2006/main" count="139" uniqueCount="67">
  <si>
    <t>Project</t>
  </si>
  <si>
    <t>Assessing Thailand's Exposure to Taiwan Semiconductor Supply Chain Disruption</t>
  </si>
  <si>
    <t>Phase</t>
  </si>
  <si>
    <t>Phase 4 — Illustrative Scenario Analysis</t>
  </si>
  <si>
    <t>Model</t>
  </si>
  <si>
    <t>Scenario Impact = Base-Case Revenue at Risk × Disruption Severity</t>
  </si>
  <si>
    <t>Important note</t>
  </si>
  <si>
    <t>Scenario severities are analyst-defined stress assumptions, not probabilities and not direct historical measurements of Taiwan supply loss.</t>
  </si>
  <si>
    <t>Revision</t>
  </si>
  <si>
    <t>Severe case revised from 60% to 40% to make scenario framework more conservative and easier to defend.</t>
  </si>
  <si>
    <t>Mild</t>
  </si>
  <si>
    <t>10% — conservative stress case; informed by Ford/IHS 2021 chip-shortage production impacts.</t>
  </si>
  <si>
    <t>Moderate</t>
  </si>
  <si>
    <t>20% — elevated stress case near upper end of Ford 10–20% planned production impact range.</t>
  </si>
  <si>
    <t>Severe</t>
  </si>
  <si>
    <t>40% — major stress case informed by Toyota's reported 40% September 2021 production cut, below full Taiwan foundry shutdown.</t>
  </si>
  <si>
    <t>Key result</t>
  </si>
  <si>
    <t>Total estimated impact: Mild $0.83B, Moderate $1.67B, Severe $3.34B.</t>
  </si>
  <si>
    <t>scenario</t>
  </si>
  <si>
    <t>severity_pct</t>
  </si>
  <si>
    <t>severity_factor</t>
  </si>
  <si>
    <t>interpretation</t>
  </si>
  <si>
    <t>benchmark_rationale</t>
  </si>
  <si>
    <t>source_key</t>
  </si>
  <si>
    <t>Short-term allocation issue, delivery delay, or limited capacity constraint.</t>
  </si>
  <si>
    <t>Conservative stress case. Broadly consistent with documented 2021 semiconductor shortage impacts, including Ford CFO guidance that chip-supplier estimates could imply losing 10–20% of planned Q1 production and IHS Markit estimating nearly 700,000 fewer global vehicles in the quarter.</t>
  </si>
  <si>
    <t>Axios_Ford_IHS_2021</t>
  </si>
  <si>
    <t>Partial disruption to Taiwan-related semiconductor inputs affecting a meaningful share of semiconductor-linked exposure.</t>
  </si>
  <si>
    <t>Elevated stress case set near the upper end of Ford’s reported 10–20% planned-production impact range during the 2021 chip shortage. This is an analyst-defined scenario, not a direct measurement of Taiwan supply loss.</t>
  </si>
  <si>
    <t>Major disruption short of full Taiwanese foundry shutdown.</t>
  </si>
  <si>
    <t>High-impact stress case below a total shutdown. Informed by severe firm-level shortage episodes such as Toyota’s reported 40% September 2021 global production cut and by SIA/BCG warnings that a complete disruption of Taiwanese foundries would be an extreme global event.</t>
  </si>
  <si>
    <t>Axios_IHS_Outlook_2021; SIA_BCG_Supply_Chain_2021</t>
  </si>
  <si>
    <t>industry</t>
  </si>
  <si>
    <t>production_value_usd_bn</t>
  </si>
  <si>
    <t>revenue_at_risk_base_usd_bn</t>
  </si>
  <si>
    <t>risk_level</t>
  </si>
  <si>
    <t>confidence_level</t>
  </si>
  <si>
    <t>mild_10pct_impact_usd_bn</t>
  </si>
  <si>
    <t>moderate_20pct_impact_usd_bn</t>
  </si>
  <si>
    <t>severe_40pct_impact_usd_bn</t>
  </si>
  <si>
    <t>Electronics</t>
  </si>
  <si>
    <t>Very High</t>
  </si>
  <si>
    <t>High for production value; Medium for chip share</t>
  </si>
  <si>
    <t>Automotive</t>
  </si>
  <si>
    <t>Medium</t>
  </si>
  <si>
    <t>HDD / Storage</t>
  </si>
  <si>
    <t>Low</t>
  </si>
  <si>
    <t>Home Appliances</t>
  </si>
  <si>
    <t>estimated_impact_usd_bn</t>
  </si>
  <si>
    <t>source_name</t>
  </si>
  <si>
    <t>url</t>
  </si>
  <si>
    <t>used_for</t>
  </si>
  <si>
    <t>note</t>
  </si>
  <si>
    <t>Axios: "Chip famine" slams the auto industry</t>
  </si>
  <si>
    <t>https://www.axios.com/2021/02/05/chip-shortage-automakers</t>
  </si>
  <si>
    <t>Mild and Moderate scenario rationale; Ford expected 10–20% planned Q1 production loss and IHS Markit estimated nearly 700,000 fewer global vehicles in the quarter due to chip shortage.</t>
  </si>
  <si>
    <t>Used as historical production-impact anchor, not as a direct Taiwan supply-loss estimate.</t>
  </si>
  <si>
    <t>Axios_IHS_Outlook_2021</t>
  </si>
  <si>
    <t>Axios: The outlook for automakers gets cloudier by the day</t>
  </si>
  <si>
    <t>https://www.axios.com/2021/09/22/auto-industry-outlook-worsens-chip-shortage</t>
  </si>
  <si>
    <t>Severe scenario rationale; cited IHS Markit global light-vehicle production downgrades and Toyota’s planned 40% September production cut.</t>
  </si>
  <si>
    <t>Used as firm-level severe shortage benchmark, not as a direct Thailand loss estimate.</t>
  </si>
  <si>
    <t>SIA_BCG_Supply_Chain_2021</t>
  </si>
  <si>
    <t>Semiconductor Industry Association / Boston Consulting Group study announcement</t>
  </si>
  <si>
    <t>https://www.semiconductors.org/study-identifies-benefits-and-vulnerabilities-of-global-semiconductor-supply-chain-recommends-government-actions-to-strengthen-it/</t>
  </si>
  <si>
    <t>Extreme Taiwan disruption framing; complete Taiwanese foundry disruption could halt global electronics supply chain in a one-year extreme case.</t>
  </si>
  <si>
    <t>Used as qualitative upper-bound risk context, not as a direct scenario percentage.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</si>
</sst>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2" fontId="2" fillId="2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'Total Impact'!$A$2:$A$4</c:f>
              <c:strCache>
                <c:ptCount val="3"/>
                <c:pt idx="0">
                  <c:v>Mild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'Total Impact'!$B$2:$B$4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E-4CB0-886B-B95156F8E7B4}"/>
            </c:ext>
          </c:extLst>
        </c:ser>
        <c:ser>
          <c:idx val="1"/>
          <c:order val="1"/>
          <c:invertIfNegative val="1"/>
          <c:cat>
            <c:strRef>
              <c:f>'Total Impact'!$A$2:$A$4</c:f>
              <c:strCache>
                <c:ptCount val="3"/>
                <c:pt idx="0">
                  <c:v>Mild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'Total Impact'!$C$2:$C$4</c:f>
              <c:numCache>
                <c:formatCode>General</c:formatCode>
                <c:ptCount val="3"/>
                <c:pt idx="0">
                  <c:v>0.1</c:v>
                </c:pt>
                <c:pt idx="1">
                  <c:v>0.2</c:v>
                </c:pt>
                <c:pt idx="2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4E-4CB0-886B-B95156F8E7B4}"/>
            </c:ext>
          </c:extLst>
        </c:ser>
        <c:ser>
          <c:idx val="2"/>
          <c:order val="2"/>
          <c:invertIfNegative val="1"/>
          <c:cat>
            <c:strRef>
              <c:f>'Total Impact'!$A$2:$A$4</c:f>
              <c:strCache>
                <c:ptCount val="3"/>
                <c:pt idx="0">
                  <c:v>Mild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'Total Impact'!$D$2:$D$4</c:f>
              <c:numCache>
                <c:formatCode>General</c:formatCode>
                <c:ptCount val="3"/>
                <c:pt idx="0">
                  <c:v>0.834727</c:v>
                </c:pt>
                <c:pt idx="1">
                  <c:v>1.669454</c:v>
                </c:pt>
                <c:pt idx="2">
                  <c:v>3.3389069999999998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4E-4CB0-886B-B95156F8E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enarioDefinitionsTable" displayName="ScenarioDefinitionsTable" ref="A1:F4">
  <tableColumns count="6">
    <tableColumn id="1" xr3:uid="{00000000-0010-0000-0000-000001000000}" name="scenario"/>
    <tableColumn id="2" xr3:uid="{00000000-0010-0000-0000-000002000000}" name="severity_pct"/>
    <tableColumn id="3" xr3:uid="{00000000-0010-0000-0000-000003000000}" name="severity_factor"/>
    <tableColumn id="4" xr3:uid="{00000000-0010-0000-0000-000004000000}" name="interpretation"/>
    <tableColumn id="5" xr3:uid="{00000000-0010-0000-0000-000005000000}" name="benchmark_rationale"/>
    <tableColumn id="6" xr3:uid="{00000000-0010-0000-0000-000006000000}" name="source_ke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mpactResultsTable" displayName="ImpactResultsTable" ref="A1:H5">
  <tableColumns count="8">
    <tableColumn id="1" xr3:uid="{00000000-0010-0000-0100-000001000000}" name="industry"/>
    <tableColumn id="2" xr3:uid="{00000000-0010-0000-0100-000002000000}" name="production_value_usd_bn"/>
    <tableColumn id="3" xr3:uid="{00000000-0010-0000-0100-000003000000}" name="revenue_at_risk_base_usd_bn"/>
    <tableColumn id="4" xr3:uid="{00000000-0010-0000-0100-000004000000}" name="risk_level"/>
    <tableColumn id="5" xr3:uid="{00000000-0010-0000-0100-000005000000}" name="confidence_level"/>
    <tableColumn id="6" xr3:uid="{00000000-0010-0000-0100-000006000000}" name="mild_10pct_impact_usd_bn"/>
    <tableColumn id="7" xr3:uid="{00000000-0010-0000-0100-000007000000}" name="moderate_20pct_impact_usd_bn"/>
    <tableColumn id="8" xr3:uid="{00000000-0010-0000-0100-000008000000}" name="severe_40pct_impact_usd_b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ongFormatTable" displayName="LongFormatTable" ref="A1:H13">
  <tableColumns count="8">
    <tableColumn id="1" xr3:uid="{00000000-0010-0000-0200-000001000000}" name="industry"/>
    <tableColumn id="2" xr3:uid="{00000000-0010-0000-0200-000002000000}" name="scenario"/>
    <tableColumn id="3" xr3:uid="{00000000-0010-0000-0200-000003000000}" name="severity_pct"/>
    <tableColumn id="4" xr3:uid="{00000000-0010-0000-0200-000004000000}" name="severity_factor"/>
    <tableColumn id="5" xr3:uid="{00000000-0010-0000-0200-000005000000}" name="revenue_at_risk_base_usd_bn"/>
    <tableColumn id="6" xr3:uid="{00000000-0010-0000-0200-000006000000}" name="estimated_impact_usd_bn"/>
    <tableColumn id="7" xr3:uid="{00000000-0010-0000-0200-000007000000}" name="risk_level"/>
    <tableColumn id="8" xr3:uid="{00000000-0010-0000-0200-000008000000}" name="confidence_le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otalImpactTable" displayName="TotalImpactTable" ref="A1:D4">
  <tableColumns count="4">
    <tableColumn id="1" xr3:uid="{00000000-0010-0000-0300-000001000000}" name="scenario"/>
    <tableColumn id="2" xr3:uid="{00000000-0010-0000-0300-000002000000}" name="severity_pct"/>
    <tableColumn id="3" xr3:uid="{00000000-0010-0000-0300-000003000000}" name="severity_factor"/>
    <tableColumn id="4" xr3:uid="{00000000-0010-0000-0300-000004000000}" name="estimated_impact_usd_b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sTable" displayName="SourcesTable" ref="A1:E4">
  <tableColumns count="5">
    <tableColumn id="1" xr3:uid="{00000000-0010-0000-0400-000001000000}" name="source_key"/>
    <tableColumn id="2" xr3:uid="{00000000-0010-0000-0400-000002000000}" name="source_name"/>
    <tableColumn id="3" xr3:uid="{00000000-0010-0000-0400-000003000000}" name="url"/>
    <tableColumn id="4" xr3:uid="{00000000-0010-0000-0400-000004000000}" name="used_for"/>
    <tableColumn id="5" xr3:uid="{00000000-0010-0000-0400-000005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25"/>
  <cols>
    <col min="1" max="1" width="24" customWidth="1"/>
    <col min="2" max="2" width="96" customWidth="1"/>
  </cols>
  <sheetData>
    <row r="1" spans="1:2" ht="15">
      <c r="A1" s="1" t="s">
        <v>0</v>
      </c>
      <c r="B1" s="1" t="s">
        <v>1</v>
      </c>
    </row>
    <row r="2" spans="1:2" ht="15">
      <c r="A2" s="2" t="s">
        <v>2</v>
      </c>
      <c r="B2" s="3" t="s">
        <v>3</v>
      </c>
    </row>
    <row r="3" spans="1:2" ht="15">
      <c r="A3" s="2" t="s">
        <v>4</v>
      </c>
      <c r="B3" s="3" t="s">
        <v>5</v>
      </c>
    </row>
    <row r="4" spans="1:2" ht="29.25">
      <c r="A4" s="2" t="s">
        <v>6</v>
      </c>
      <c r="B4" s="3" t="s">
        <v>7</v>
      </c>
    </row>
    <row r="5" spans="1:2" ht="15">
      <c r="A5" s="2" t="s">
        <v>8</v>
      </c>
      <c r="B5" s="3" t="s">
        <v>9</v>
      </c>
    </row>
    <row r="6" spans="1:2" ht="15">
      <c r="A6" s="2" t="s">
        <v>10</v>
      </c>
      <c r="B6" s="3" t="s">
        <v>11</v>
      </c>
    </row>
    <row r="7" spans="1:2" ht="15">
      <c r="A7" s="2" t="s">
        <v>12</v>
      </c>
      <c r="B7" s="3" t="s">
        <v>13</v>
      </c>
    </row>
    <row r="8" spans="1:2" ht="29.25">
      <c r="A8" s="2" t="s">
        <v>14</v>
      </c>
      <c r="B8" s="3" t="s">
        <v>15</v>
      </c>
    </row>
    <row r="9" spans="1:2" ht="15">
      <c r="A9" s="2" t="s">
        <v>16</v>
      </c>
      <c r="B9" s="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25"/>
  <cols>
    <col min="1" max="1" width="7.875" customWidth="1"/>
    <col min="2" max="2" width="9.875" customWidth="1"/>
    <col min="3" max="3" width="12" customWidth="1"/>
    <col min="4" max="5" width="48" customWidth="1"/>
    <col min="6" max="6" width="42.375" customWidth="1"/>
  </cols>
  <sheetData>
    <row r="1" spans="1:6" ht="30">
      <c r="A1" s="1" t="s">
        <v>18</v>
      </c>
      <c r="B1" s="4" t="s">
        <v>19</v>
      </c>
      <c r="C1" s="4" t="s">
        <v>20</v>
      </c>
      <c r="D1" s="1" t="s">
        <v>21</v>
      </c>
      <c r="E1" s="1" t="s">
        <v>22</v>
      </c>
      <c r="F1" s="1" t="s">
        <v>23</v>
      </c>
    </row>
    <row r="2" spans="1:6" ht="85.5">
      <c r="A2" s="3" t="s">
        <v>10</v>
      </c>
      <c r="B2" s="3">
        <v>10</v>
      </c>
      <c r="C2" s="3">
        <v>0.1</v>
      </c>
      <c r="D2" s="3" t="s">
        <v>24</v>
      </c>
      <c r="E2" s="3" t="s">
        <v>25</v>
      </c>
      <c r="F2" s="3" t="s">
        <v>26</v>
      </c>
    </row>
    <row r="3" spans="1:6" ht="71.25">
      <c r="A3" s="3" t="s">
        <v>12</v>
      </c>
      <c r="B3" s="3">
        <v>20</v>
      </c>
      <c r="C3" s="3">
        <v>0.2</v>
      </c>
      <c r="D3" s="3" t="s">
        <v>27</v>
      </c>
      <c r="E3" s="3" t="s">
        <v>28</v>
      </c>
      <c r="F3" s="3" t="s">
        <v>26</v>
      </c>
    </row>
    <row r="4" spans="1:6" ht="85.5">
      <c r="A4" s="3" t="s">
        <v>14</v>
      </c>
      <c r="B4" s="3">
        <v>40</v>
      </c>
      <c r="C4" s="3">
        <v>0.4</v>
      </c>
      <c r="D4" s="3" t="s">
        <v>29</v>
      </c>
      <c r="E4" s="3" t="s">
        <v>30</v>
      </c>
      <c r="F4" s="3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/>
  </sheetViews>
  <sheetFormatPr defaultRowHeight="14.25"/>
  <cols>
    <col min="1" max="1" width="22" customWidth="1"/>
    <col min="2" max="2" width="25.25" customWidth="1"/>
    <col min="3" max="3" width="29.75" customWidth="1"/>
    <col min="4" max="4" width="10.5" customWidth="1"/>
    <col min="5" max="5" width="37.25" customWidth="1"/>
    <col min="6" max="6" width="24.625" customWidth="1"/>
    <col min="7" max="7" width="29.5" customWidth="1"/>
    <col min="8" max="8" width="27.875" customWidth="1"/>
  </cols>
  <sheetData>
    <row r="1" spans="1:8" ht="30">
      <c r="A1" s="1" t="s">
        <v>32</v>
      </c>
      <c r="B1" s="4" t="s">
        <v>33</v>
      </c>
      <c r="C1" s="4" t="s">
        <v>34</v>
      </c>
      <c r="D1" s="1" t="s">
        <v>35</v>
      </c>
      <c r="E1" s="1" t="s">
        <v>36</v>
      </c>
      <c r="F1" s="4" t="s">
        <v>37</v>
      </c>
      <c r="G1" s="4" t="s">
        <v>38</v>
      </c>
      <c r="H1" s="4" t="s">
        <v>39</v>
      </c>
    </row>
    <row r="2" spans="1:8" ht="28.5">
      <c r="A2" s="3" t="s">
        <v>40</v>
      </c>
      <c r="B2" s="3">
        <v>52.89</v>
      </c>
      <c r="C2" s="3">
        <v>5.7667599999999997</v>
      </c>
      <c r="D2" s="3" t="s">
        <v>41</v>
      </c>
      <c r="E2" s="3" t="s">
        <v>42</v>
      </c>
      <c r="F2" s="3">
        <v>0.57667599999999997</v>
      </c>
      <c r="G2" s="3">
        <v>1.1533519999999999</v>
      </c>
      <c r="H2" s="3">
        <v>2.3067039999999999</v>
      </c>
    </row>
    <row r="3" spans="1:8" ht="28.5">
      <c r="A3" s="3" t="s">
        <v>43</v>
      </c>
      <c r="B3" s="3">
        <v>53</v>
      </c>
      <c r="C3" s="3">
        <v>0.92460100000000001</v>
      </c>
      <c r="D3" s="3" t="s">
        <v>12</v>
      </c>
      <c r="E3" s="3" t="s">
        <v>44</v>
      </c>
      <c r="F3" s="3">
        <v>9.2460000000000001E-2</v>
      </c>
      <c r="G3" s="3">
        <v>0.18492</v>
      </c>
      <c r="H3" s="3">
        <v>0.36984</v>
      </c>
    </row>
    <row r="4" spans="1:8" ht="28.5">
      <c r="A4" s="3" t="s">
        <v>45</v>
      </c>
      <c r="B4" s="3">
        <v>13.36</v>
      </c>
      <c r="C4" s="3">
        <v>0.87400900000000004</v>
      </c>
      <c r="D4" s="3" t="s">
        <v>12</v>
      </c>
      <c r="E4" s="3" t="s">
        <v>46</v>
      </c>
      <c r="F4" s="3">
        <v>8.7401000000000006E-2</v>
      </c>
      <c r="G4" s="3">
        <v>0.17480200000000001</v>
      </c>
      <c r="H4" s="3">
        <v>0.34960400000000003</v>
      </c>
    </row>
    <row r="5" spans="1:8" ht="28.5">
      <c r="A5" s="3" t="s">
        <v>47</v>
      </c>
      <c r="B5" s="3">
        <v>29.88</v>
      </c>
      <c r="C5" s="3">
        <v>0.78189799999999998</v>
      </c>
      <c r="D5" s="3" t="s">
        <v>12</v>
      </c>
      <c r="E5" s="3" t="s">
        <v>46</v>
      </c>
      <c r="F5" s="3">
        <v>7.8189999999999996E-2</v>
      </c>
      <c r="G5" s="3">
        <v>0.15637999999999999</v>
      </c>
      <c r="H5" s="3">
        <v>0.31275900000000001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/>
  </sheetViews>
  <sheetFormatPr defaultRowHeight="14.25"/>
  <cols>
    <col min="1" max="1" width="13.5" customWidth="1"/>
    <col min="2" max="2" width="9.75" customWidth="1"/>
    <col min="3" max="3" width="11.5" customWidth="1"/>
    <col min="4" max="4" width="15.5" customWidth="1"/>
    <col min="5" max="5" width="28" customWidth="1"/>
    <col min="6" max="6" width="24.5" customWidth="1"/>
    <col min="7" max="7" width="11.25" customWidth="1"/>
    <col min="8" max="8" width="41" customWidth="1"/>
  </cols>
  <sheetData>
    <row r="1" spans="1:8" ht="30">
      <c r="A1" s="1" t="s">
        <v>32</v>
      </c>
      <c r="B1" s="1" t="s">
        <v>18</v>
      </c>
      <c r="C1" s="4" t="s">
        <v>19</v>
      </c>
      <c r="D1" s="4" t="s">
        <v>20</v>
      </c>
      <c r="E1" s="4" t="s">
        <v>34</v>
      </c>
      <c r="F1" s="4" t="s">
        <v>48</v>
      </c>
      <c r="G1" s="1" t="s">
        <v>35</v>
      </c>
      <c r="H1" s="1" t="s">
        <v>36</v>
      </c>
    </row>
    <row r="2" spans="1:8" ht="28.5">
      <c r="A2" s="3" t="s">
        <v>40</v>
      </c>
      <c r="B2" s="3" t="s">
        <v>10</v>
      </c>
      <c r="C2" s="3">
        <v>10</v>
      </c>
      <c r="D2" s="3">
        <v>0.1</v>
      </c>
      <c r="E2" s="3">
        <v>5.7667599999999997</v>
      </c>
      <c r="F2" s="3">
        <v>0.57667599999999997</v>
      </c>
      <c r="G2" s="3" t="s">
        <v>41</v>
      </c>
      <c r="H2" s="3" t="s">
        <v>42</v>
      </c>
    </row>
    <row r="3" spans="1:8" ht="28.5">
      <c r="A3" s="3" t="s">
        <v>40</v>
      </c>
      <c r="B3" s="3" t="s">
        <v>12</v>
      </c>
      <c r="C3" s="3">
        <v>20</v>
      </c>
      <c r="D3" s="3">
        <v>0.2</v>
      </c>
      <c r="E3" s="3">
        <v>5.7667599999999997</v>
      </c>
      <c r="F3" s="3">
        <v>1.1533519999999999</v>
      </c>
      <c r="G3" s="3" t="s">
        <v>41</v>
      </c>
      <c r="H3" s="3" t="s">
        <v>42</v>
      </c>
    </row>
    <row r="4" spans="1:8" ht="28.5">
      <c r="A4" s="3" t="s">
        <v>40</v>
      </c>
      <c r="B4" s="3" t="s">
        <v>14</v>
      </c>
      <c r="C4" s="3">
        <v>40</v>
      </c>
      <c r="D4" s="3">
        <v>0.4</v>
      </c>
      <c r="E4" s="3">
        <v>5.7667599999999997</v>
      </c>
      <c r="F4" s="3">
        <v>2.3067039999999999</v>
      </c>
      <c r="G4" s="3" t="s">
        <v>41</v>
      </c>
      <c r="H4" s="3" t="s">
        <v>42</v>
      </c>
    </row>
    <row r="5" spans="1:8" ht="28.5">
      <c r="A5" s="3" t="s">
        <v>43</v>
      </c>
      <c r="B5" s="3" t="s">
        <v>10</v>
      </c>
      <c r="C5" s="3">
        <v>10</v>
      </c>
      <c r="D5" s="3">
        <v>0.1</v>
      </c>
      <c r="E5" s="3">
        <v>0.92460100000000001</v>
      </c>
      <c r="F5" s="3">
        <v>9.2460000000000001E-2</v>
      </c>
      <c r="G5" s="3" t="s">
        <v>12</v>
      </c>
      <c r="H5" s="3" t="s">
        <v>44</v>
      </c>
    </row>
    <row r="6" spans="1:8" ht="28.5">
      <c r="A6" s="3" t="s">
        <v>43</v>
      </c>
      <c r="B6" s="3" t="s">
        <v>12</v>
      </c>
      <c r="C6" s="3">
        <v>20</v>
      </c>
      <c r="D6" s="3">
        <v>0.2</v>
      </c>
      <c r="E6" s="3">
        <v>0.92460100000000001</v>
      </c>
      <c r="F6" s="3">
        <v>0.18492</v>
      </c>
      <c r="G6" s="3" t="s">
        <v>12</v>
      </c>
      <c r="H6" s="3" t="s">
        <v>44</v>
      </c>
    </row>
    <row r="7" spans="1:8" ht="28.5">
      <c r="A7" s="3" t="s">
        <v>43</v>
      </c>
      <c r="B7" s="3" t="s">
        <v>14</v>
      </c>
      <c r="C7" s="3">
        <v>40</v>
      </c>
      <c r="D7" s="3">
        <v>0.4</v>
      </c>
      <c r="E7" s="3">
        <v>0.92460100000000001</v>
      </c>
      <c r="F7" s="3">
        <v>0.36984</v>
      </c>
      <c r="G7" s="3" t="s">
        <v>12</v>
      </c>
      <c r="H7" s="3" t="s">
        <v>44</v>
      </c>
    </row>
    <row r="8" spans="1:8" ht="28.5">
      <c r="A8" s="3" t="s">
        <v>45</v>
      </c>
      <c r="B8" s="3" t="s">
        <v>10</v>
      </c>
      <c r="C8" s="3">
        <v>10</v>
      </c>
      <c r="D8" s="3">
        <v>0.1</v>
      </c>
      <c r="E8" s="3">
        <v>0.87400900000000004</v>
      </c>
      <c r="F8" s="3">
        <v>8.7401000000000006E-2</v>
      </c>
      <c r="G8" s="3" t="s">
        <v>12</v>
      </c>
      <c r="H8" s="3" t="s">
        <v>46</v>
      </c>
    </row>
    <row r="9" spans="1:8" ht="28.5">
      <c r="A9" s="3" t="s">
        <v>45</v>
      </c>
      <c r="B9" s="3" t="s">
        <v>12</v>
      </c>
      <c r="C9" s="3">
        <v>20</v>
      </c>
      <c r="D9" s="3">
        <v>0.2</v>
      </c>
      <c r="E9" s="3">
        <v>0.87400900000000004</v>
      </c>
      <c r="F9" s="3">
        <v>0.17480200000000001</v>
      </c>
      <c r="G9" s="3" t="s">
        <v>12</v>
      </c>
      <c r="H9" s="3" t="s">
        <v>46</v>
      </c>
    </row>
    <row r="10" spans="1:8" ht="28.5">
      <c r="A10" s="3" t="s">
        <v>45</v>
      </c>
      <c r="B10" s="3" t="s">
        <v>14</v>
      </c>
      <c r="C10" s="3">
        <v>40</v>
      </c>
      <c r="D10" s="3">
        <v>0.4</v>
      </c>
      <c r="E10" s="3">
        <v>0.87400900000000004</v>
      </c>
      <c r="F10" s="3">
        <v>0.34960400000000003</v>
      </c>
      <c r="G10" s="3" t="s">
        <v>12</v>
      </c>
      <c r="H10" s="3" t="s">
        <v>46</v>
      </c>
    </row>
    <row r="11" spans="1:8" ht="28.5">
      <c r="A11" s="3" t="s">
        <v>47</v>
      </c>
      <c r="B11" s="3" t="s">
        <v>10</v>
      </c>
      <c r="C11" s="3">
        <v>10</v>
      </c>
      <c r="D11" s="3">
        <v>0.1</v>
      </c>
      <c r="E11" s="3">
        <v>0.78189799999999998</v>
      </c>
      <c r="F11" s="3">
        <v>7.8189999999999996E-2</v>
      </c>
      <c r="G11" s="3" t="s">
        <v>12</v>
      </c>
      <c r="H11" s="3" t="s">
        <v>46</v>
      </c>
    </row>
    <row r="12" spans="1:8" ht="28.5">
      <c r="A12" s="3" t="s">
        <v>47</v>
      </c>
      <c r="B12" s="3" t="s">
        <v>12</v>
      </c>
      <c r="C12" s="3">
        <v>20</v>
      </c>
      <c r="D12" s="3">
        <v>0.2</v>
      </c>
      <c r="E12" s="3">
        <v>0.78189799999999998</v>
      </c>
      <c r="F12" s="3">
        <v>0.15637999999999999</v>
      </c>
      <c r="G12" s="3" t="s">
        <v>12</v>
      </c>
      <c r="H12" s="3" t="s">
        <v>46</v>
      </c>
    </row>
    <row r="13" spans="1:8" ht="28.5">
      <c r="A13" s="3" t="s">
        <v>47</v>
      </c>
      <c r="B13" s="3" t="s">
        <v>14</v>
      </c>
      <c r="C13" s="3">
        <v>40</v>
      </c>
      <c r="D13" s="3">
        <v>0.4</v>
      </c>
      <c r="E13" s="3">
        <v>0.78189799999999998</v>
      </c>
      <c r="F13" s="3">
        <v>0.31275900000000001</v>
      </c>
      <c r="G13" s="3" t="s">
        <v>12</v>
      </c>
      <c r="H13" s="3" t="s">
        <v>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C1" sqref="C1"/>
    </sheetView>
  </sheetViews>
  <sheetFormatPr defaultRowHeight="14.25"/>
  <cols>
    <col min="1" max="1" width="10.75" customWidth="1"/>
    <col min="2" max="2" width="14.375" customWidth="1"/>
    <col min="3" max="3" width="15.625" customWidth="1"/>
    <col min="4" max="4" width="23.5" customWidth="1"/>
  </cols>
  <sheetData>
    <row r="1" spans="1:4" ht="30">
      <c r="A1" s="1" t="s">
        <v>18</v>
      </c>
      <c r="B1" s="4" t="s">
        <v>19</v>
      </c>
      <c r="C1" s="4" t="s">
        <v>20</v>
      </c>
      <c r="D1" s="4" t="s">
        <v>48</v>
      </c>
    </row>
    <row r="2" spans="1:4">
      <c r="A2" s="3" t="s">
        <v>10</v>
      </c>
      <c r="B2" s="3">
        <v>10</v>
      </c>
      <c r="C2" s="3">
        <v>0.1</v>
      </c>
      <c r="D2" s="3">
        <v>0.834727</v>
      </c>
    </row>
    <row r="3" spans="1:4" ht="28.5">
      <c r="A3" s="3" t="s">
        <v>12</v>
      </c>
      <c r="B3" s="3">
        <v>20</v>
      </c>
      <c r="C3" s="3">
        <v>0.2</v>
      </c>
      <c r="D3" s="3">
        <v>1.669454</v>
      </c>
    </row>
    <row r="4" spans="1:4">
      <c r="A4" s="3" t="s">
        <v>14</v>
      </c>
      <c r="B4" s="3">
        <v>40</v>
      </c>
      <c r="C4" s="3">
        <v>0.4</v>
      </c>
      <c r="D4" s="3">
        <v>3.3389069999999998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tabSelected="1" workbookViewId="0"/>
  </sheetViews>
  <sheetFormatPr defaultRowHeight="14.25"/>
  <cols>
    <col min="1" max="1" width="22.625" customWidth="1"/>
    <col min="2" max="2" width="63.5" customWidth="1"/>
    <col min="3" max="5" width="58" customWidth="1"/>
  </cols>
  <sheetData>
    <row r="1" spans="1:5" ht="15">
      <c r="A1" s="1" t="s">
        <v>23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ht="42.75">
      <c r="A2" s="3" t="s">
        <v>26</v>
      </c>
      <c r="B2" s="3" t="s">
        <v>53</v>
      </c>
      <c r="C2" s="3" t="s">
        <v>54</v>
      </c>
      <c r="D2" s="3" t="s">
        <v>55</v>
      </c>
      <c r="E2" s="3" t="s">
        <v>56</v>
      </c>
    </row>
    <row r="3" spans="1:5" ht="42.75">
      <c r="A3" s="3" t="s">
        <v>57</v>
      </c>
      <c r="B3" s="3" t="s">
        <v>58</v>
      </c>
      <c r="C3" s="3" t="s">
        <v>59</v>
      </c>
      <c r="D3" s="3" t="s">
        <v>60</v>
      </c>
      <c r="E3" s="3" t="s">
        <v>61</v>
      </c>
    </row>
    <row r="4" spans="1:5" ht="42.75">
      <c r="A4" s="3" t="s">
        <v>62</v>
      </c>
      <c r="B4" s="3" t="s">
        <v>63</v>
      </c>
      <c r="C4" s="3" t="s">
        <v>64</v>
      </c>
      <c r="D4" s="3" t="s">
        <v>65</v>
      </c>
      <c r="E4" s="3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Scenario Definitions</vt:lpstr>
      <vt:lpstr>Impact Results</vt:lpstr>
      <vt:lpstr>Long Format</vt:lpstr>
      <vt:lpstr>Total Impact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2026-06-19T19:28:27Z</dcterms:modified>
</cp:coreProperties>
</file>