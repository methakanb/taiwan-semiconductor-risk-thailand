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0bc24bcdf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a8bfd566a14d89"/>
    <x:sheet xmlns:r="http://schemas.openxmlformats.org/officeDocument/2006/relationships" name="Inputs" sheetId="2" r:id="R460b3bc03e6c410a"/>
    <x:sheet xmlns:r="http://schemas.openxmlformats.org/officeDocument/2006/relationships" name="Revenue at Risk" sheetId="3" r:id="R96c18e4ec75f4eb9"/>
    <x:sheet xmlns:r="http://schemas.openxmlformats.org/officeDocument/2006/relationships" name="Sources" sheetId="4" r:id="R0bd58ebd1e3d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E3A8A"/>
      </x:patternFill>
    </x:fill>
    <x:fill>
      <x:patternFill patternType="solid">
        <x:fgColor rgb="FF14532D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bd34892c543b9" /><Relationship Type="http://schemas.openxmlformats.org/officeDocument/2006/relationships/theme" Target="/xl/theme/theme1.xml" Id="Rabf5e5b280db4895" /><Relationship Type="http://schemas.openxmlformats.org/officeDocument/2006/relationships/sharedStrings" Target="/xl/sharedStrings.xml" Id="R46c2a3e3cb974b8a" /><Relationship Type="http://schemas.openxmlformats.org/officeDocument/2006/relationships/worksheet" Target="/xl/worksheets/sheet1.xml" Id="R1ca8bfd566a14d89" /><Relationship Type="http://schemas.openxmlformats.org/officeDocument/2006/relationships/worksheet" Target="/xl/worksheets/sheet2.xml" Id="R460b3bc03e6c410a" /><Relationship Type="http://schemas.openxmlformats.org/officeDocument/2006/relationships/worksheet" Target="/xl/worksheets/sheet3.xml" Id="R96c18e4ec75f4eb9" /><Relationship Type="http://schemas.openxmlformats.org/officeDocument/2006/relationships/worksheet" Target="/xl/worksheets/sheet4.xml" Id="R0bd58ebd1e3d4b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5ea4c2d3d14c6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RaR Base</c:v>
          </c:tx>
          <c:cat>
            <c:strRef>
              <c:f>'Revenue at Risk'!$B$2:$B$5</c:f>
              <c:strCache>
                <c:ptCount val="0"/>
              </c:strCache>
            </c:strRef>
          </c:cat>
          <c:val>
            <c:numRef>
              <c:f>'Revenue at Risk'!$I$2:$I$5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Industry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USD bn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5ea4c2d3d14c6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hase3Inputs" displayName="Phase3Inputs" ref="A1:M5" headerRowCount="1">
  <x:tableColumns count="13">
    <x:tableColumn id="1" name="Industry"/>
    <x:tableColumn id="2" name="Production Value (USD bn)"/>
    <x:tableColumn id="3" name="Production Value Basis"/>
    <x:tableColumn id="4" name="Production Source"/>
    <x:tableColumn id="5" name="Chip Share Low"/>
    <x:tableColumn id="6" name="Chip Share Base"/>
    <x:tableColumn id="7" name="Chip Share High"/>
    <x:tableColumn id="8" name="Chip Share Basis"/>
    <x:tableColumn id="9" name="Chip Share Source"/>
    <x:tableColumn id="10" name="Taiwan Dependency"/>
    <x:tableColumn id="11" name="Confidence"/>
    <x:tableColumn id="12" name="Suitability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venueAtRiskResults" displayName="RevenueAtRiskResults" ref="A1:M5" headerRowCount="1">
  <x:tableColumns count="13">
    <x:tableColumn id="1" name="Rank"/>
    <x:tableColumn id="2" name="Industry"/>
    <x:tableColumn id="3" name="Production Value (USD bn)"/>
    <x:tableColumn id="4" name="Chip Share Low"/>
    <x:tableColumn id="5" name="Chip Share Base"/>
    <x:tableColumn id="6" name="Chip Share High"/>
    <x:tableColumn id="7" name="Taiwan Dependency"/>
    <x:tableColumn id="8" name="RaR Low (USD bn)"/>
    <x:tableColumn id="9" name="RaR Base (USD bn)"/>
    <x:tableColumn id="10" name="RaR High (USD bn)"/>
    <x:tableColumn id="11" name="Risk Level"/>
    <x:tableColumn id="12" name="Confidence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hase3Sources" displayName="Phase3Sources" ref="A1:B8" headerRowCount="1">
  <x:tableColumns count="2">
    <x:tableColumn id="1" name="Source Key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cf494d380f43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5c52dd710914bcb" /><Relationship Type="http://schemas.openxmlformats.org/officeDocument/2006/relationships/table" Target="/xl/tables/table2.xml" Id="R420e291046b94b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ddca103f47463f" /></Relationships>
</file>

<file path=xl/worksheets/sheet1.xml><?xml version="1.0" encoding="utf-8"?>
<x:worksheet xmlns:x="http://schemas.openxmlformats.org/spreadsheetml/2006/main">
  <x:sheetFormatPr defaultRowHeight="15"/>
  <x:cols>
    <x:col min="1" max="1" width="46.630001068115234" hidden="0" customWidth="1"/>
    <x:col min="2" max="2" width="102.25" hidden="0" customWidth="1"/>
  </x:cols>
  <x:sheetData>
    <x:row r="1">
      <x:c r="A1" s="14" t="str">
        <x:v>Phase 3 — Industry Exposure &amp; Revenue at Risk</x:v>
      </x:c>
      <x:c r="B1" s="14" t="str"/>
    </x:row>
    <x:row r="2">
      <x:c r="A2" s="15" t="str">
        <x:v>Project</x:v>
      </x:c>
      <x:c r="B2" s="16" t="str">
        <x:v>Assessing Thailand's Exposure to Taiwan Semiconductor Supply Chain Disruption</x:v>
      </x:c>
    </x:row>
    <x:row r="3">
      <x:c r="A3" s="15" t="str">
        <x:v>Model</x:v>
      </x:c>
      <x:c r="B3" s="16" t="str">
        <x:v>Revenue at Risk = Production Value × Semiconductor Cost Share × Taiwan Proxy Dependency</x:v>
      </x:c>
    </x:row>
    <x:row r="4">
      <x:c r="A4" s="15" t="str">
        <x:v>Taiwan Proxy Dependency</x:v>
      </x:c>
      <x:c r="B4" s="17" t="n">
        <x:v>0.436132319875173</x:v>
      </x:c>
    </x:row>
    <x:row r="5">
      <x:c r="A5" s="15" t="str">
        <x:v>Dependency Source</x:v>
      </x:c>
      <x:c r="B5" s="16" t="str">
        <x:v>Phase 2: data/processed/taiwan_dependency_index.csv, 2024</x:v>
      </x:c>
    </x:row>
    <x:row r="6">
      <x:c r="A6" s="15" t="str">
        <x:v>Key Result</x:v>
      </x:c>
      <x:c r="B6" s="16" t="str">
        <x:v>Electronics has the highest base-case semiconductor revenue at risk.</x:v>
      </x:c>
    </x:row>
    <x:row r="7">
      <x:c r="A7" s="15" t="str">
        <x:v>Method Note</x:v>
      </x:c>
      <x:c r="B7" s="16" t="str">
        <x:v>This is an exposure model, not a precise revenue loss forecast. Low/base/high chip-share assumptions are included to reflect uncertainty.</x:v>
      </x:c>
    </x:row>
    <x:row r="8">
      <x:c r="A8" s="15" t="str">
        <x:v>Proxy Note</x:v>
      </x:c>
      <x:c r="B8" s="16" t="str">
        <x:v>Other Asia, nes is used as a Taiwan/Chinese Taipei proxy with limitations stated in the methodology.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23.25" hidden="0" customWidth="1"/>
    <x:col min="3" max="3" width="38" hidden="0" customWidth="1"/>
    <x:col min="4" max="4" width="48.75" hidden="0" customWidth="1"/>
    <x:col min="5" max="5" width="14.630000114440918" hidden="0" customWidth="1"/>
    <x:col min="6" max="6" width="15.130000114440918" hidden="0" customWidth="1"/>
    <x:col min="7" max="7" width="15" hidden="0" customWidth="1"/>
    <x:col min="8" max="8" width="38" hidden="0" customWidth="1"/>
    <x:col min="9" max="9" width="48.75" hidden="0" customWidth="1"/>
    <x:col min="10" max="10" width="18.3799991607666" hidden="0" customWidth="1"/>
    <x:col min="11" max="11" width="37.25" hidden="0" customWidth="1"/>
    <x:col min="12" max="12" width="38" hidden="0" customWidth="1"/>
    <x:col min="13" max="13" width="38" hidden="0" customWidth="1"/>
  </x:cols>
  <x:sheetData>
    <x:row r="1">
      <x:c r="A1" s="32" t="str">
        <x:v>Industry</x:v>
      </x:c>
      <x:c r="B1" s="32" t="str">
        <x:v>Production Value (USD bn)</x:v>
      </x:c>
      <x:c r="C1" s="32" t="str">
        <x:v>Production Value Basis</x:v>
      </x:c>
      <x:c r="D1" s="32" t="str">
        <x:v>Production Source</x:v>
      </x:c>
      <x:c r="E1" s="32" t="str">
        <x:v>Chip Share Low</x:v>
      </x:c>
      <x:c r="F1" s="32" t="str">
        <x:v>Chip Share Base</x:v>
      </x:c>
      <x:c r="G1" s="32" t="str">
        <x:v>Chip Share High</x:v>
      </x:c>
      <x:c r="H1" s="32" t="str">
        <x:v>Chip Share Basis</x:v>
      </x:c>
      <x:c r="I1" s="32" t="str">
        <x:v>Chip Share Source</x:v>
      </x:c>
      <x:c r="J1" s="32" t="str">
        <x:v>Taiwan Dependency</x:v>
      </x:c>
      <x:c r="K1" s="32" t="str">
        <x:v>Confidence</x:v>
      </x:c>
      <x:c r="L1" s="32" t="str">
        <x:v>Suitability</x:v>
      </x:c>
      <x:c r="M1" s="32" t="str">
        <x:v>Notes</x:v>
      </x:c>
    </x:row>
    <x:row r="2">
      <x:c r="A2" s="16" t="str">
        <x:v>Electronics</x:v>
      </x:c>
      <x:c r="B2" s="33" t="n">
        <x:v>52.89</x:v>
      </x:c>
      <x:c r="C2" s="16" t="str">
        <x:v>BOI reports Thailand E&amp;E output of USD 97.94B in 2023; electronics is estimated as 54% of E&amp;E output.</x:v>
      </x:c>
      <x:c r="D2" s="16" t="str">
        <x:v>BOI_EE_Brochure</x:v>
      </x:c>
      <x:c r="E2" s="34" t="n">
        <x:v>0.2</x:v>
      </x:c>
      <x:c r="F2" s="34" t="n">
        <x:v>0.25</x:v>
      </x:c>
      <x:c r="G2" s="34" t="n">
        <x:v>0.3</x:v>
      </x:c>
      <x:c r="H2" s="16" t="str">
        <x:v>High semiconductor intensity: electronics includes ICs, PCB-related products, HDDs and semiconductor devices; base share is an analytical estimate with sensitivity range.</x:v>
      </x:c>
      <x:c r="I2" s="16" t="str">
        <x:v>BOI_EE_Brochure; OIE_2024_Outlook_2025</x:v>
      </x:c>
      <x:c r="J2" s="17" t="n">
        <x:v>0.436132319875173</x:v>
      </x:c>
      <x:c r="K2" s="16" t="str">
        <x:v>High for production value; Medium for chip share</x:v>
      </x:c>
      <x:c r="L2" s="16" t="str">
        <x:v>Suitable for Revenue-at-Risk model as the broad electronics sector has direct semiconductor dependence.</x:v>
      </x:c>
      <x:c r="M2" s="16" t="str">
        <x:v>Largest absolute exposure because the sector combines large output with high chip intensity.</x:v>
      </x:c>
    </x:row>
    <x:row r="3">
      <x:c r="A3" s="16" t="str">
        <x:v>Automotive</x:v>
      </x:c>
      <x:c r="B3" s="33" t="n">
        <x:v>53</x:v>
      </x:c>
      <x:c r="C3" s="16" t="str">
        <x:v>Reuters reports Thailand automotive sector around USD 53B; BOI/industry data also show Thailand as a major vehicle production base.</x:v>
      </x:c>
      <x:c r="D3" s="16" t="str">
        <x:v>Reuters_Thai_Auto_2024</x:v>
      </x:c>
      <x:c r="E3" s="34" t="n">
        <x:v>0.03</x:v>
      </x:c>
      <x:c r="F3" s="34" t="n">
        <x:v>0.04</x:v>
      </x:c>
      <x:c r="G3" s="34" t="n">
        <x:v>0.05</x:v>
      </x:c>
      <x:c r="H3" s="16" t="str">
        <x:v>Semiconductor share based on vehicle BOM benchmark; conservative for Thailand because ICE and pickup production dominate relative to high-end EVs.</x:v>
      </x:c>
      <x:c r="I3" s="16" t="str">
        <x:v>TechSpot_Intel_Auto_Semiconductor_BOM</x:v>
      </x:c>
      <x:c r="J3" s="17" t="n">
        <x:v>0.436132319875173</x:v>
      </x:c>
      <x:c r="K3" s="16" t="str">
        <x:v>Medium</x:v>
      </x:c>
      <x:c r="L3" s="16" t="str">
        <x:v>Suitable as a conservative base case; important bottleneck risk even when chip cost share is not high.</x:v>
      </x:c>
      <x:c r="M3" s="16" t="str">
        <x:v>Strategically important because missing low-cost chips can stop production of high-value vehicles.</x:v>
      </x:c>
    </x:row>
    <x:row r="4">
      <x:c r="A4" s="16" t="str">
        <x:v>HDD / Storage</x:v>
      </x:c>
      <x:c r="B4" s="33" t="n">
        <x:v>13.36</x:v>
      </x:c>
      <x:c r="C4" s="16" t="str">
        <x:v>Proxy derived from BOI E&amp;E data and computer parts/components share; Thailand is a major HDD exporter.</x:v>
      </x:c>
      <x:c r="D4" s="16" t="str">
        <x:v>BOI_EE_Brochure</x:v>
      </x:c>
      <x:c r="E4" s="34" t="n">
        <x:v>0.12</x:v>
      </x:c>
      <x:c r="F4" s="34" t="n">
        <x:v>0.15</x:v>
      </x:c>
      <x:c r="G4" s="34" t="n">
        <x:v>0.18</x:v>
      </x:c>
      <x:c r="H4" s="16" t="str">
        <x:v>HDDs use controller ICs, read-channel chips, motor control and PCB electronics, but are also electromechanical products.</x:v>
      </x:c>
      <x:c r="I4" s="16" t="str">
        <x:v>BOI_EE_Brochure; Rossmann_HDD_PCB_Components</x:v>
      </x:c>
      <x:c r="J4" s="17" t="n">
        <x:v>0.436132319875173</x:v>
      </x:c>
      <x:c r="K4" s="16" t="str">
        <x:v>Low</x:v>
      </x:c>
      <x:c r="L4" s="16" t="str">
        <x:v>Use as a proxy estimate; suitable with clear limitations and sensitivity analysis.</x:v>
      </x:c>
      <x:c r="M4" s="16" t="str">
        <x:v>High criticality but lower absolute exposure than broad electronics due to smaller estimated production base.</x:v>
      </x:c>
    </x:row>
    <x:row r="5">
      <x:c r="A5" s="16" t="str">
        <x:v>Home Appliances</x:v>
      </x:c>
      <x:c r="B5" s="33" t="n">
        <x:v>29.88</x:v>
      </x:c>
      <x:c r="C5" s="16" t="str">
        <x:v>Proxy based on OIE 2024 electrical appliances export value including air conditioners, washing machines, refrigerators and related products.</x:v>
      </x:c>
      <x:c r="D5" s="16" t="str">
        <x:v>OIE_2024_Outlook_2025; BOI_TIR_Newsletter_Appliances_2024</x:v>
      </x:c>
      <x:c r="E5" s="34" t="n">
        <x:v>0.04</x:v>
      </x:c>
      <x:c r="F5" s="34" t="n">
        <x:v>0.06</x:v>
      </x:c>
      <x:c r="G5" s="34" t="n">
        <x:v>0.08</x:v>
      </x:c>
      <x:c r="H5" s="16" t="str">
        <x:v>Appliances use control boards, sensors, inverter modules and power electronics; major costs still include compressors, motors, metal and plastics.</x:v>
      </x:c>
      <x:c r="I5" s="16" t="str">
        <x:v>OIE_2024_Outlook_2025; BOI_TIR_Newsletter_Appliances_2024</x:v>
      </x:c>
      <x:c r="J5" s="17" t="n">
        <x:v>0.436132319875173</x:v>
      </x:c>
      <x:c r="K5" s="16" t="str">
        <x:v>Low</x:v>
      </x:c>
      <x:c r="L5" s="16" t="str">
        <x:v>Use as lower-bound proxy; better data would separate appliance production value from exports.</x:v>
      </x:c>
      <x:c r="M5" s="16" t="str">
        <x:v>Lower chip intensity but meaningful exposure due to large appliance export base.</x:v>
      </x:c>
    </x:row>
  </x:sheetData>
  <x:pageMargins left="0.7" right="0.7" top="0.75" bottom="0.75" header="0.3" footer="0.3"/>
  <x:tableParts count="1">
    <x:tablePart xmlns:r="http://schemas.openxmlformats.org/officeDocument/2006/relationships" r:id="R25cf494d380f43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13.5" hidden="0" customWidth="1"/>
    <x:col min="3" max="3" width="23.25" hidden="0" customWidth="1"/>
    <x:col min="4" max="4" width="14.630000114440918" hidden="0" customWidth="1"/>
    <x:col min="5" max="5" width="15.130000114440918" hidden="0" customWidth="1"/>
    <x:col min="6" max="6" width="15" hidden="0" customWidth="1"/>
    <x:col min="7" max="7" width="18.3799991607666" hidden="0" customWidth="1"/>
    <x:col min="8" max="8" width="16.75" hidden="0" customWidth="1"/>
    <x:col min="9" max="9" width="17.1299991607666" hidden="0" customWidth="1"/>
    <x:col min="10" max="10" width="17" hidden="0" customWidth="1"/>
    <x:col min="11" max="11" width="10.5" hidden="0" customWidth="1"/>
    <x:col min="12" max="12" width="37.25" hidden="0" customWidth="1"/>
    <x:col min="13" max="13" width="42" hidden="0" customWidth="1"/>
  </x:cols>
  <x:sheetData>
    <x:row r="1">
      <x:c r="A1" s="44" t="str">
        <x:v>Rank</x:v>
      </x:c>
      <x:c r="B1" s="44" t="str">
        <x:v>Industry</x:v>
      </x:c>
      <x:c r="C1" s="44" t="str">
        <x:v>Production Value (USD bn)</x:v>
      </x:c>
      <x:c r="D1" s="44" t="str">
        <x:v>Chip Share Low</x:v>
      </x:c>
      <x:c r="E1" s="44" t="str">
        <x:v>Chip Share Base</x:v>
      </x:c>
      <x:c r="F1" s="44" t="str">
        <x:v>Chip Share High</x:v>
      </x:c>
      <x:c r="G1" s="44" t="str">
        <x:v>Taiwan Dependency</x:v>
      </x:c>
      <x:c r="H1" s="44" t="str">
        <x:v>RaR Low (USD bn)</x:v>
      </x:c>
      <x:c r="I1" s="44" t="str">
        <x:v>RaR Base (USD bn)</x:v>
      </x:c>
      <x:c r="J1" s="44" t="str">
        <x:v>RaR High (USD bn)</x:v>
      </x:c>
      <x:c r="K1" s="44" t="str">
        <x:v>Risk Level</x:v>
      </x:c>
      <x:c r="L1" s="44" t="str">
        <x:v>Confidence</x:v>
      </x:c>
      <x:c r="M1" s="44" t="str">
        <x:v>Notes</x:v>
      </x:c>
    </x:row>
    <x:row r="2">
      <x:c r="A2" s="16" t="n">
        <x:v>1</x:v>
      </x:c>
      <x:c r="B2" s="16" t="str">
        <x:v>Electronics</x:v>
      </x:c>
      <x:c r="C2" s="33" t="n">
        <x:v>52.89</x:v>
      </x:c>
      <x:c r="D2" s="17" t="n">
        <x:v>0.2</x:v>
      </x:c>
      <x:c r="E2" s="17" t="n">
        <x:v>0.25</x:v>
      </x:c>
      <x:c r="F2" s="17" t="n">
        <x:v>0.3</x:v>
      </x:c>
      <x:c r="G2" s="17" t="n">
        <x:v>0.436132319875173</x:v>
      </x:c>
      <x:c r="H2" s="33" t="n">
        <x:f>C2*D2*G2</x:f>
        <x:v>4.613407679639581</x:v>
      </x:c>
      <x:c r="I2" s="33" t="n">
        <x:f>C2*E2*G2</x:f>
        <x:v>5.7667595995494745</x:v>
      </x:c>
      <x:c r="J2" s="33" t="n">
        <x:f>C2*F2*G2</x:f>
        <x:v>6.920111519459369</x:v>
      </x:c>
      <x:c r="K2" s="16" t="str">
        <x:v>Very High</x:v>
      </x:c>
      <x:c r="L2" s="16" t="str">
        <x:v>High for production value; Medium for chip share</x:v>
      </x:c>
      <x:c r="M2" s="16" t="str">
        <x:v>Largest absolute exposure because the sector combines large output with high chip intensity.</x:v>
      </x:c>
    </x:row>
    <x:row r="3">
      <x:c r="A3" s="16" t="n">
        <x:v>2</x:v>
      </x:c>
      <x:c r="B3" s="16" t="str">
        <x:v>Automotive</x:v>
      </x:c>
      <x:c r="C3" s="33" t="n">
        <x:v>53</x:v>
      </x:c>
      <x:c r="D3" s="17" t="n">
        <x:v>0.03</x:v>
      </x:c>
      <x:c r="E3" s="17" t="n">
        <x:v>0.04</x:v>
      </x:c>
      <x:c r="F3" s="17" t="n">
        <x:v>0.05</x:v>
      </x:c>
      <x:c r="G3" s="17" t="n">
        <x:v>0.436132319875173</x:v>
      </x:c>
      <x:c r="H3" s="33" t="n">
        <x:f>C3*D3*G3</x:f>
        <x:v>0.693450388601525</x:v>
      </x:c>
      <x:c r="I3" s="33" t="n">
        <x:f>C3*E3*G3</x:f>
        <x:v>0.9246005181353668</x:v>
      </x:c>
      <x:c r="J3" s="33" t="n">
        <x:f>C3*F3*G3</x:f>
        <x:v>1.1557506476692085</x:v>
      </x:c>
      <x:c r="K3" s="16" t="str">
        <x:v>Moderate</x:v>
      </x:c>
      <x:c r="L3" s="16" t="str">
        <x:v>Medium</x:v>
      </x:c>
      <x:c r="M3" s="16" t="str">
        <x:v>Strategically important because missing low-cost chips can stop production of high-value vehicles.</x:v>
      </x:c>
    </x:row>
    <x:row r="4">
      <x:c r="A4" s="16" t="n">
        <x:v>3</x:v>
      </x:c>
      <x:c r="B4" s="16" t="str">
        <x:v>HDD / Storage</x:v>
      </x:c>
      <x:c r="C4" s="33" t="n">
        <x:v>13.36</x:v>
      </x:c>
      <x:c r="D4" s="17" t="n">
        <x:v>0.12</x:v>
      </x:c>
      <x:c r="E4" s="17" t="n">
        <x:v>0.15</x:v>
      </x:c>
      <x:c r="F4" s="17" t="n">
        <x:v>0.18</x:v>
      </x:c>
      <x:c r="G4" s="17" t="n">
        <x:v>0.436132319875173</x:v>
      </x:c>
      <x:c r="H4" s="33" t="n">
        <x:f>C4*D4*G4</x:f>
        <x:v>0.6992073352238773</x:v>
      </x:c>
      <x:c r="I4" s="33" t="n">
        <x:f>C4*E4*G4</x:f>
        <x:v>0.8740091690298466</x:v>
      </x:c>
      <x:c r="J4" s="33" t="n">
        <x:f>C4*F4*G4</x:f>
        <x:v>1.048811002835816</x:v>
      </x:c>
      <x:c r="K4" s="16" t="str">
        <x:v>Moderate</x:v>
      </x:c>
      <x:c r="L4" s="16" t="str">
        <x:v>Low</x:v>
      </x:c>
      <x:c r="M4" s="16" t="str">
        <x:v>High criticality but lower absolute exposure than broad electronics due to smaller estimated production base.</x:v>
      </x:c>
    </x:row>
    <x:row r="5">
      <x:c r="A5" s="16" t="n">
        <x:v>4</x:v>
      </x:c>
      <x:c r="B5" s="16" t="str">
        <x:v>Home Appliances</x:v>
      </x:c>
      <x:c r="C5" s="33" t="n">
        <x:v>29.88</x:v>
      </x:c>
      <x:c r="D5" s="17" t="n">
        <x:v>0.04</x:v>
      </x:c>
      <x:c r="E5" s="17" t="n">
        <x:v>0.06</x:v>
      </x:c>
      <x:c r="F5" s="17" t="n">
        <x:v>0.08</x:v>
      </x:c>
      <x:c r="G5" s="17" t="n">
        <x:v>0.436132319875173</x:v>
      </x:c>
      <x:c r="H5" s="33" t="n">
        <x:f>C5*D5*G5</x:f>
        <x:v>0.5212653487148068</x:v>
      </x:c>
      <x:c r="I5" s="33" t="n">
        <x:f>C5*E5*G5</x:f>
        <x:v>0.7818980230722101</x:v>
      </x:c>
      <x:c r="J5" s="33" t="n">
        <x:f>C5*F5*G5</x:f>
        <x:v>1.0425306974296136</x:v>
      </x:c>
      <x:c r="K5" s="16" t="str">
        <x:v>Moderate</x:v>
      </x:c>
      <x:c r="L5" s="16" t="str">
        <x:v>Low</x:v>
      </x:c>
      <x:c r="M5" s="16" t="str">
        <x:v>Lower chip intensity but meaningful exposure due to large appliance export base.</x:v>
      </x:c>
    </x:row>
  </x:sheetData>
  <x:conditionalFormatting sqref="I2:I5">
    <x:cfRule type="dataBar" priority="1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{44CA1DD5-534A-1200-4971-4493484C6A68}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5c52dd710914bcb"/>
  <x:tableParts count="1">
    <x:tablePart xmlns:r="http://schemas.openxmlformats.org/officeDocument/2006/relationships" r:id="R420e291046b94b2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4CA1DD5-534A-1200-4971-4493484C6A68}">
            <x14:dataBar gradient="1">
              <x14:cfvo type="min"/>
              <x14:cfvo type="max"/>
              <x14:fillColor rgb="FF22C55E"/>
            </x14:dataBar>
          </x14:cfRule>
          <xm:sqref>I2:I5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2.880001068115234" hidden="0" customWidth="1"/>
    <x:col min="2" max="2" width="70" hidden="0" customWidth="1"/>
  </x:cols>
  <x:sheetData>
    <x:row r="1">
      <x:c r="A1" s="52" t="str">
        <x:v>Source Key</x:v>
      </x:c>
      <x:c r="B1" s="52" t="str">
        <x:v>URL</x:v>
      </x:c>
    </x:row>
    <x:row r="2">
      <x:c r="A2" s="16" t="str">
        <x:v>BOI_EE_Brochure</x:v>
      </x:c>
      <x:c r="B2" s="16" t="str">
        <x:v>https://www.boi.go.th/upload/content/Brochure_EE.pdf</x:v>
      </x:c>
    </x:row>
    <x:row r="3">
      <x:c r="A3" s="16" t="str">
        <x:v>OIE_2024_Outlook_2025</x:v>
      </x:c>
      <x:c r="B3" s="16" t="str">
        <x:v>https://www.oie.go.th/assets/portals/1/files/monthly_report/anualreport2024_outlookfor2025.pdf</x:v>
      </x:c>
    </x:row>
    <x:row r="4">
      <x:c r="A4" s="16" t="str">
        <x:v>Reuters_Thai_Auto_2024</x:v>
      </x:c>
      <x:c r="B4" s="16" t="str">
        <x:v>https://www.reuters.com/business/autos-transportation/thai-auto-sector-reels-falling-orders-soaring-household-debt-2024-09-25/</x:v>
      </x:c>
    </x:row>
    <x:row r="5">
      <x:c r="A5" s="16" t="str">
        <x:v>TechSpot_Intel_Auto_Semiconductor_BOM</x:v>
      </x:c>
      <x:c r="B5" s="16" t="str">
        <x:v>https://www.techspot.com/news/91152-intel-ceo-believes-over-20-percent-premium-vehicles.html</x:v>
      </x:c>
    </x:row>
    <x:row r="6">
      <x:c r="A6" s="16" t="str">
        <x:v>BOI_TIR_Newsletter_Appliances_2024</x:v>
      </x:c>
      <x:c r="B6" s="16" t="str">
        <x:v>https://www.boi.go.th/upload/ejournal/2024/Issue3/TIR_Newsletter_July2024.pdf</x:v>
      </x:c>
    </x:row>
    <x:row r="7">
      <x:c r="A7" s="16" t="str">
        <x:v>Rossmann_HDD_PCB_Components</x:v>
      </x:c>
      <x:c r="B7" s="16" t="str">
        <x:v>https://rossmanngroup.com/technical-reference/hard-drive-pcb-components/</x:v>
      </x:c>
    </x:row>
    <x:row r="8">
      <x:c r="A8" s="16" t="str">
        <x:v>Phase2_Taiwan_Dependency_Index</x:v>
      </x:c>
      <x:c r="B8" s="16" t="str">
        <x:v>data/processed/taiwan_dependency_index.csv</x:v>
      </x:c>
    </x:row>
    <x:row r="9">
      <x:c r="A9" s="16"/>
      <x:c r="B9" s="16"/>
    </x:row>
    <x:row r="10">
      <x:c r="A10" s="16"/>
      <x:c r="B10" s="16"/>
    </x:row>
    <x:row r="11">
      <x:c r="A11" s="16"/>
      <x:c r="B11" s="16"/>
    </x:row>
    <x:row r="12">
      <x:c r="A12" s="16"/>
      <x:c r="B12" s="16"/>
    </x:row>
    <x:row r="13">
      <x:c r="A13" s="16"/>
      <x:c r="B13" s="16"/>
    </x:row>
    <x:row r="14">
      <x:c r="A14" s="16"/>
      <x:c r="B14" s="16"/>
    </x:row>
    <x:row r="15">
      <x:c r="A15" s="16"/>
      <x:c r="B15" s="16"/>
    </x:row>
    <x:row r="16">
      <x:c r="A16" s="16"/>
      <x:c r="B16" s="16"/>
    </x:row>
    <x:row r="17">
      <x:c r="A17" s="16"/>
      <x:c r="B17" s="16"/>
    </x:row>
    <x:row r="18">
      <x:c r="A18" s="16"/>
      <x:c r="B18" s="16"/>
    </x:row>
    <x:row r="19">
      <x:c r="A19" s="16"/>
      <x:c r="B19" s="16"/>
    </x:row>
    <x:row r="20">
      <x:c r="A20" s="16"/>
      <x:c r="B20" s="16"/>
    </x:row>
  </x:sheetData>
  <x:pageMargins left="0.7" right="0.7" top="0.75" bottom="0.75" header="0.3" footer="0.3"/>
  <x:tableParts count="1">
    <x:tablePart xmlns:r="http://schemas.openxmlformats.org/officeDocument/2006/relationships" r:id="Rfaddca103f47463f"/>
  </x:tableParts>
</x:worksheet>
</file>